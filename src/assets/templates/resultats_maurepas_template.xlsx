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80" tabRatio="335" firstSheet="0" activeTab="1" autoFilterDateGrouping="1"/>
  </bookViews>
  <sheets>
    <sheet xmlns:r="http://schemas.openxmlformats.org/officeDocument/2006/relationships" name="pv centralisateur" sheetId="1" state="visible" r:id="rId1"/>
    <sheet xmlns:r="http://schemas.openxmlformats.org/officeDocument/2006/relationships" name="Résultats maurepas" sheetId="2" state="visible" r:id="rId2"/>
    <sheet xmlns:r="http://schemas.openxmlformats.org/officeDocument/2006/relationships" name="Affiche résultats" sheetId="3" state="visible" r:id="rId3"/>
  </sheets>
  <definedNames>
    <definedName name="_xlnm.Print_Area" localSheetId="0">'pv centralisateur'!$A$1:$P$24</definedName>
    <definedName name="_xlnm.Print_Area" localSheetId="2">'Affiche résultats'!$A$1:$K$19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0">
    <font>
      <name val="Arial"/>
      <sz val="10"/>
    </font>
    <font>
      <name val="Arial"/>
      <family val="2"/>
      <b val="1"/>
      <sz val="12"/>
    </font>
    <font>
      <name val="Arial"/>
      <family val="2"/>
      <b val="1"/>
      <color indexed="12"/>
      <sz val="12"/>
    </font>
    <font>
      <name val="Arial"/>
      <family val="2"/>
      <sz val="10"/>
    </font>
    <font>
      <name val="Verdana"/>
      <family val="2"/>
      <sz val="14"/>
    </font>
    <font>
      <name val="Verdana"/>
      <family val="2"/>
      <b val="1"/>
      <sz val="20"/>
    </font>
    <font>
      <name val="Verdana"/>
      <family val="2"/>
      <b val="1"/>
      <sz val="22"/>
    </font>
    <font>
      <name val="Verdana"/>
      <family val="2"/>
      <sz val="18"/>
    </font>
    <font>
      <name val="Verdana"/>
      <family val="2"/>
      <b val="1"/>
      <sz val="18"/>
    </font>
    <font>
      <name val="Verdana"/>
      <family val="2"/>
      <b val="1"/>
      <sz val="14"/>
    </font>
    <font>
      <name val="Arial"/>
      <family val="2"/>
      <sz val="12"/>
    </font>
    <font>
      <name val="Verdana"/>
      <family val="2"/>
      <sz val="10"/>
    </font>
    <font>
      <name val="Verdana"/>
      <family val="2"/>
      <b val="1"/>
      <color theme="1"/>
      <sz val="9"/>
    </font>
    <font>
      <name val="Arial"/>
      <family val="2"/>
      <color rgb="FFFF0000"/>
      <sz val="12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35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i val="1"/>
      <sz val="9"/>
    </font>
    <font>
      <name val="Arial"/>
      <family val="2"/>
      <b val="1"/>
      <sz val="22"/>
    </font>
    <font>
      <name val="Arial"/>
      <family val="2"/>
      <sz val="18"/>
    </font>
    <font>
      <name val="Arial"/>
      <family val="2"/>
      <b val="1"/>
      <sz val="18"/>
    </font>
    <font>
      <name val="Arial"/>
      <family val="2"/>
      <i val="1"/>
      <sz val="11"/>
    </font>
    <font>
      <name val="Arial"/>
      <family val="2"/>
      <i val="1"/>
      <color indexed="12"/>
      <sz val="11"/>
    </font>
    <font>
      <name val="Arial"/>
      <family val="2"/>
      <b val="1"/>
      <sz val="20"/>
    </font>
    <font>
      <name val="Verdana"/>
      <family val="2"/>
      <b val="1"/>
      <sz val="10"/>
    </font>
    <font>
      <name val="Verdana"/>
      <family val="2"/>
      <color indexed="81"/>
      <sz val="12"/>
    </font>
    <font>
      <name val="Verdana"/>
      <family val="2"/>
      <b val="1"/>
      <color indexed="81"/>
      <sz val="12"/>
    </font>
    <font>
      <name val="Arial"/>
      <family val="2"/>
      <b val="1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4" fillId="0" borderId="0"/>
    <xf numFmtId="9" fontId="14" fillId="0" borderId="0"/>
  </cellStyleXfs>
  <cellXfs count="203">
    <xf numFmtId="0" fontId="0" fillId="0" borderId="0" pivotButton="0" quotePrefix="0" xfId="0"/>
    <xf numFmtId="1" fontId="10" fillId="0" borderId="0" pivotButton="0" quotePrefix="0" xfId="0"/>
    <xf numFmtId="0" fontId="10" fillId="0" borderId="0" pivotButton="0" quotePrefix="0" xfId="0"/>
    <xf numFmtId="0" fontId="10" fillId="2" borderId="0" applyAlignment="1" pivotButton="0" quotePrefix="0" xfId="0">
      <alignment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wrapText="1"/>
    </xf>
    <xf numFmtId="1" fontId="10" fillId="0" borderId="0" pivotButton="0" quotePrefix="0" xfId="0"/>
    <xf numFmtId="0" fontId="10" fillId="0" borderId="0" pivotButton="0" quotePrefix="0" xfId="0"/>
    <xf numFmtId="0" fontId="10" fillId="0" borderId="0" pivotButton="0" quotePrefix="0" xfId="0"/>
    <xf numFmtId="0" fontId="19" fillId="0" borderId="0" applyAlignment="1" pivotButton="0" quotePrefix="0" xfId="0">
      <alignment wrapText="1"/>
    </xf>
    <xf numFmtId="0" fontId="19" fillId="0" borderId="0" pivotButton="0" quotePrefix="0" xfId="0"/>
    <xf numFmtId="0" fontId="10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10" fillId="0" borderId="0" pivotButton="0" quotePrefix="0" xfId="0"/>
    <xf numFmtId="0" fontId="10" fillId="0" borderId="25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10" fontId="11" fillId="0" borderId="0" applyAlignment="1" applyProtection="1" pivotButton="0" quotePrefix="0" xfId="0">
      <alignment horizontal="center" vertical="center"/>
      <protection locked="0" hidden="0"/>
    </xf>
    <xf numFmtId="10" fontId="4" fillId="0" borderId="0" applyAlignment="1" applyProtection="1" pivotButton="0" quotePrefix="0" xfId="0">
      <alignment horizontal="center" vertical="center" wrapText="1"/>
      <protection locked="0" hidden="0"/>
    </xf>
    <xf numFmtId="0" fontId="9" fillId="4" borderId="27" applyAlignment="1" applyProtection="1" pivotButton="0" quotePrefix="0" xfId="0">
      <alignment horizontal="center" vertical="center" wrapText="1"/>
      <protection locked="0" hidden="0"/>
    </xf>
    <xf numFmtId="3" fontId="4" fillId="0" borderId="19" applyAlignment="1" pivotButton="0" quotePrefix="0" xfId="0">
      <alignment horizontal="center" vertical="center" wrapText="1"/>
    </xf>
    <xf numFmtId="10" fontId="4" fillId="0" borderId="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0" fontId="4" fillId="0" borderId="19" applyAlignment="1" pivotButton="0" quotePrefix="0" xfId="0">
      <alignment horizontal="center" vertical="center" wrapText="1"/>
    </xf>
    <xf numFmtId="1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10" fontId="4" fillId="0" borderId="2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0" fontId="5" fillId="0" borderId="18" applyAlignment="1" pivotButton="0" quotePrefix="0" xfId="0">
      <alignment horizontal="center" vertical="center" wrapText="1"/>
    </xf>
    <xf numFmtId="0" fontId="20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22" fillId="0" borderId="0" applyAlignment="1" applyProtection="1" pivotButton="0" quotePrefix="0" xfId="0">
      <alignment horizontal="center" vertical="center"/>
      <protection locked="0" hidden="0"/>
    </xf>
    <xf numFmtId="0" fontId="15" fillId="0" borderId="0" applyProtection="1" pivotButton="0" quotePrefix="0" xfId="0">
      <protection locked="0" hidden="0"/>
    </xf>
    <xf numFmtId="10" fontId="23" fillId="0" borderId="0" applyProtection="1" pivotButton="0" quotePrefix="0" xfId="2">
      <protection locked="0" hidden="0"/>
    </xf>
    <xf numFmtId="0" fontId="17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0" fontId="9" fillId="2" borderId="28" applyAlignment="1" pivotButton="0" quotePrefix="0" xfId="0">
      <alignment horizontal="center" vertical="center" wrapText="1"/>
    </xf>
    <xf numFmtId="1" fontId="1" fillId="4" borderId="1" applyAlignment="1" applyProtection="1" pivotButton="0" quotePrefix="0" xfId="1">
      <alignment horizontal="center" vertical="center"/>
      <protection locked="0" hidden="0"/>
    </xf>
    <xf numFmtId="1" fontId="1" fillId="4" borderId="1" applyAlignment="1" pivotButton="0" quotePrefix="0" xfId="1">
      <alignment horizontal="center" vertical="center" wrapText="1"/>
    </xf>
    <xf numFmtId="1" fontId="1" fillId="0" borderId="1" applyAlignment="1" pivotButton="0" quotePrefix="0" xfId="1">
      <alignment horizontal="center" vertical="center" wrapText="1"/>
    </xf>
    <xf numFmtId="1" fontId="1" fillId="4" borderId="4" applyAlignment="1" pivotButton="0" quotePrefix="0" xfId="1">
      <alignment horizontal="center" vertical="center" wrapText="1"/>
    </xf>
    <xf numFmtId="1" fontId="1" fillId="0" borderId="4" applyAlignment="1" pivotButton="0" quotePrefix="0" xfId="1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1" fontId="1" fillId="0" borderId="1" applyAlignment="1" pivotButton="0" quotePrefix="0" xfId="1">
      <alignment horizontal="center" vertical="center"/>
    </xf>
    <xf numFmtId="1" fontId="1" fillId="4" borderId="1" applyAlignment="1" pivotButton="0" quotePrefix="0" xfId="1">
      <alignment horizontal="center" vertical="center"/>
    </xf>
    <xf numFmtId="0" fontId="12" fillId="0" borderId="3" applyAlignment="1" applyProtection="1" pivotButton="0" quotePrefix="0" xfId="0">
      <alignment horizontal="center" vertical="center"/>
      <protection locked="0" hidden="0"/>
    </xf>
    <xf numFmtId="1" fontId="9" fillId="2" borderId="29" applyAlignment="1" pivotButton="0" quotePrefix="0" xfId="0">
      <alignment horizontal="center" vertical="center" wrapText="1"/>
    </xf>
    <xf numFmtId="1" fontId="26" fillId="4" borderId="28" applyAlignment="1" applyProtection="1" pivotButton="0" quotePrefix="0" xfId="0">
      <alignment horizontal="center" vertical="center"/>
      <protection locked="0" hidden="0"/>
    </xf>
    <xf numFmtId="10" fontId="26" fillId="4" borderId="28" applyAlignment="1" applyProtection="1" pivotButton="0" quotePrefix="0" xfId="0">
      <alignment horizontal="center" vertical="center"/>
      <protection locked="0" hidden="0"/>
    </xf>
    <xf numFmtId="1" fontId="4" fillId="0" borderId="20" applyAlignment="1" pivotButton="0" quotePrefix="0" xfId="0">
      <alignment horizontal="center" vertical="center" wrapText="1"/>
    </xf>
    <xf numFmtId="0" fontId="1" fillId="0" borderId="34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 wrapText="1"/>
    </xf>
    <xf numFmtId="10" fontId="1" fillId="0" borderId="1" applyAlignment="1" applyProtection="1" pivotButton="0" quotePrefix="0" xfId="2">
      <alignment horizontal="center" vertical="center"/>
      <protection locked="0" hidden="0"/>
    </xf>
    <xf numFmtId="10" fontId="1" fillId="4" borderId="1" applyAlignment="1" applyProtection="1" pivotButton="0" quotePrefix="0" xfId="2">
      <alignment horizontal="center" vertical="center"/>
      <protection locked="0" hidden="0"/>
    </xf>
    <xf numFmtId="0" fontId="1" fillId="2" borderId="29" applyAlignment="1" applyProtection="1" pivotButton="0" quotePrefix="0" xfId="0">
      <alignment horizontal="center" vertical="center" textRotation="90" wrapText="1"/>
      <protection locked="0" hidden="0"/>
    </xf>
    <xf numFmtId="1" fontId="1" fillId="0" borderId="38" applyAlignment="1" applyProtection="1" pivotButton="0" quotePrefix="0" xfId="1">
      <alignment horizontal="center" vertical="center"/>
      <protection locked="0" hidden="0"/>
    </xf>
    <xf numFmtId="10" fontId="1" fillId="0" borderId="38" applyAlignment="1" applyProtection="1" pivotButton="0" quotePrefix="0" xfId="2">
      <alignment horizontal="center" vertical="center"/>
      <protection locked="0" hidden="0"/>
    </xf>
    <xf numFmtId="0" fontId="1" fillId="5" borderId="39" applyAlignment="1" pivotButton="0" quotePrefix="0" xfId="0">
      <alignment horizontal="center" vertical="center" textRotation="90" wrapText="1"/>
    </xf>
    <xf numFmtId="0" fontId="1" fillId="9" borderId="28" applyAlignment="1" pivotButton="0" quotePrefix="0" xfId="0">
      <alignment horizontal="center" vertical="center" textRotation="90" wrapText="1"/>
    </xf>
    <xf numFmtId="1" fontId="1" fillId="0" borderId="36" applyAlignment="1" applyProtection="1" pivotButton="0" quotePrefix="0" xfId="1">
      <alignment horizontal="center" vertical="center"/>
      <protection locked="0" hidden="0"/>
    </xf>
    <xf numFmtId="1" fontId="1" fillId="4" borderId="4" applyAlignment="1" applyProtection="1" pivotButton="0" quotePrefix="0" xfId="1">
      <alignment horizontal="center" vertical="center"/>
      <protection locked="0" hidden="0"/>
    </xf>
    <xf numFmtId="1" fontId="1" fillId="0" borderId="4" applyAlignment="1" pivotButton="0" quotePrefix="0" xfId="1">
      <alignment horizontal="center" vertical="center"/>
    </xf>
    <xf numFmtId="1" fontId="1" fillId="4" borderId="4" applyAlignment="1" pivotButton="0" quotePrefix="0" xfId="1">
      <alignment horizontal="center" vertical="center"/>
    </xf>
    <xf numFmtId="1" fontId="1" fillId="0" borderId="10" applyAlignment="1" applyProtection="1" pivotButton="0" quotePrefix="0" xfId="1">
      <alignment horizontal="center" vertical="center"/>
      <protection locked="0" hidden="0"/>
    </xf>
    <xf numFmtId="1" fontId="1" fillId="4" borderId="2" applyAlignment="1" applyProtection="1" pivotButton="0" quotePrefix="0" xfId="1">
      <alignment horizontal="center" vertical="center"/>
      <protection locked="0" hidden="0"/>
    </xf>
    <xf numFmtId="1" fontId="1" fillId="0" borderId="2" applyAlignment="1" pivotButton="0" quotePrefix="0" xfId="1">
      <alignment horizontal="center" vertical="center"/>
    </xf>
    <xf numFmtId="1" fontId="1" fillId="4" borderId="2" applyAlignment="1" pivotButton="0" quotePrefix="0" xfId="1">
      <alignment horizontal="center" vertical="center"/>
    </xf>
    <xf numFmtId="1" fontId="1" fillId="8" borderId="13" applyAlignment="1" pivotButton="0" quotePrefix="0" xfId="1">
      <alignment horizontal="center" vertical="center"/>
    </xf>
    <xf numFmtId="2" fontId="1" fillId="8" borderId="25" applyAlignment="1" pivotButton="0" quotePrefix="0" xfId="2">
      <alignment horizontal="center" vertical="center"/>
    </xf>
    <xf numFmtId="10" fontId="1" fillId="0" borderId="36" applyAlignment="1" applyProtection="1" pivotButton="0" quotePrefix="0" xfId="2">
      <alignment horizontal="center" vertical="center"/>
      <protection locked="0" hidden="0"/>
    </xf>
    <xf numFmtId="10" fontId="1" fillId="4" borderId="4" applyAlignment="1" applyProtection="1" pivotButton="0" quotePrefix="0" xfId="2">
      <alignment horizontal="center" vertical="center"/>
      <protection locked="0" hidden="0"/>
    </xf>
    <xf numFmtId="10" fontId="1" fillId="0" borderId="4" applyAlignment="1" applyProtection="1" pivotButton="0" quotePrefix="0" xfId="2">
      <alignment horizontal="center" vertical="center"/>
      <protection locked="0" hidden="0"/>
    </xf>
    <xf numFmtId="1" fontId="1" fillId="0" borderId="40" applyAlignment="1" applyProtection="1" pivotButton="0" quotePrefix="0" xfId="1">
      <alignment horizontal="center" vertical="center"/>
      <protection locked="0" hidden="0"/>
    </xf>
    <xf numFmtId="1" fontId="1" fillId="4" borderId="35" applyAlignment="1" applyProtection="1" pivotButton="0" quotePrefix="0" xfId="1">
      <alignment horizontal="center" vertical="center"/>
      <protection locked="0" hidden="0"/>
    </xf>
    <xf numFmtId="1" fontId="1" fillId="0" borderId="35" applyAlignment="1" pivotButton="0" quotePrefix="0" xfId="1">
      <alignment horizontal="center" vertical="center"/>
    </xf>
    <xf numFmtId="1" fontId="1" fillId="4" borderId="35" applyAlignment="1" pivotButton="0" quotePrefix="0" xfId="1">
      <alignment horizontal="center" vertical="center"/>
    </xf>
    <xf numFmtId="1" fontId="1" fillId="8" borderId="25" applyAlignment="1" pivotButton="0" quotePrefix="0" xfId="1">
      <alignment horizontal="center" vertical="center"/>
    </xf>
    <xf numFmtId="0" fontId="10" fillId="0" borderId="48" applyAlignment="1" pivotButton="0" quotePrefix="0" xfId="0">
      <alignment horizontal="center" vertical="center" wrapText="1"/>
    </xf>
    <xf numFmtId="1" fontId="1" fillId="0" borderId="5" applyAlignment="1" pivotButton="0" quotePrefix="0" xfId="1">
      <alignment horizontal="center" vertical="center"/>
    </xf>
    <xf numFmtId="1" fontId="1" fillId="0" borderId="9" applyAlignment="1" pivotButton="0" quotePrefix="0" xfId="1">
      <alignment horizontal="center" vertical="center"/>
    </xf>
    <xf numFmtId="1" fontId="2" fillId="7" borderId="34" applyAlignment="1" pivotButton="0" quotePrefix="0" xfId="1">
      <alignment horizontal="center" vertical="center"/>
    </xf>
    <xf numFmtId="2" fontId="1" fillId="8" borderId="49" applyAlignment="1" pivotButton="0" quotePrefix="0" xfId="2">
      <alignment horizontal="center" vertical="center"/>
    </xf>
    <xf numFmtId="1" fontId="1" fillId="0" borderId="37" applyAlignment="1" pivotButton="0" quotePrefix="0" xfId="1">
      <alignment horizontal="center" vertical="center"/>
    </xf>
    <xf numFmtId="10" fontId="1" fillId="0" borderId="5" applyAlignment="1" applyProtection="1" pivotButton="0" quotePrefix="0" xfId="2">
      <alignment horizontal="center" vertical="center"/>
      <protection locked="0" hidden="0"/>
    </xf>
    <xf numFmtId="10" fontId="1" fillId="0" borderId="9" applyAlignment="1" applyProtection="1" pivotButton="0" quotePrefix="0" xfId="2">
      <alignment horizontal="center" vertical="center"/>
      <protection locked="0" hidden="0"/>
    </xf>
    <xf numFmtId="1" fontId="1" fillId="8" borderId="49" applyAlignment="1" pivotButton="0" quotePrefix="0" xfId="1">
      <alignment horizontal="center" vertical="center"/>
    </xf>
    <xf numFmtId="1" fontId="1" fillId="0" borderId="50" applyAlignment="1" pivotButton="0" quotePrefix="0" xfId="1">
      <alignment horizontal="center" vertical="center"/>
    </xf>
    <xf numFmtId="10" fontId="1" fillId="7" borderId="34" applyAlignment="1" applyProtection="1" pivotButton="0" quotePrefix="0" xfId="2">
      <alignment horizontal="center" vertical="center"/>
      <protection locked="0" hidden="0"/>
    </xf>
    <xf numFmtId="0" fontId="2" fillId="7" borderId="45" applyAlignment="1" pivotButton="0" quotePrefix="0" xfId="0">
      <alignment horizontal="right" vertical="center" indent="6"/>
    </xf>
    <xf numFmtId="2" fontId="1" fillId="7" borderId="34" applyAlignment="1" pivotButton="0" quotePrefix="0" xfId="2">
      <alignment horizontal="center" vertical="center"/>
    </xf>
    <xf numFmtId="1" fontId="1" fillId="8" borderId="34" applyAlignment="1" pivotButton="0" quotePrefix="0" xfId="1">
      <alignment horizontal="center" vertical="center"/>
    </xf>
    <xf numFmtId="1" fontId="1" fillId="5" borderId="46" applyAlignment="1" pivotButton="0" quotePrefix="0" xfId="0">
      <alignment horizontal="center" vertical="center"/>
    </xf>
    <xf numFmtId="1" fontId="1" fillId="0" borderId="1" applyAlignment="1" pivotButton="0" quotePrefix="0" xfId="1">
      <alignment horizontal="center" vertical="center"/>
    </xf>
    <xf numFmtId="10" fontId="23" fillId="0" borderId="1" applyAlignment="1" pivotButton="0" quotePrefix="0" xfId="2">
      <alignment horizontal="center" vertical="center"/>
    </xf>
    <xf numFmtId="10" fontId="23" fillId="4" borderId="1" applyAlignment="1" pivotButton="0" quotePrefix="0" xfId="2">
      <alignment horizontal="center" vertical="center"/>
    </xf>
    <xf numFmtId="1" fontId="1" fillId="0" borderId="51" applyAlignment="1" pivotButton="0" quotePrefix="0" xfId="1">
      <alignment horizontal="center" vertical="center" wrapText="1"/>
    </xf>
    <xf numFmtId="1" fontId="1" fillId="4" borderId="51" applyAlignment="1" pivotButton="0" quotePrefix="0" xfId="1">
      <alignment horizontal="center" vertical="center" wrapText="1"/>
    </xf>
    <xf numFmtId="1" fontId="1" fillId="0" borderId="51" applyAlignment="1" pivotButton="0" quotePrefix="0" xfId="1">
      <alignment horizontal="center" vertical="center"/>
    </xf>
    <xf numFmtId="10" fontId="23" fillId="0" borderId="51" applyAlignment="1" pivotButton="0" quotePrefix="0" xfId="2">
      <alignment horizontal="center" vertical="center"/>
    </xf>
    <xf numFmtId="10" fontId="23" fillId="0" borderId="52" applyAlignment="1" pivotButton="0" quotePrefix="0" xfId="2">
      <alignment horizontal="center" vertical="center"/>
    </xf>
    <xf numFmtId="10" fontId="23" fillId="4" borderId="47" applyAlignment="1" pivotButton="0" quotePrefix="0" xfId="2">
      <alignment horizontal="center" vertical="center"/>
    </xf>
    <xf numFmtId="10" fontId="23" fillId="0" borderId="47" applyAlignment="1" pivotButton="0" quotePrefix="0" xfId="2">
      <alignment horizontal="center" vertical="center"/>
    </xf>
    <xf numFmtId="1" fontId="1" fillId="0" borderId="53" applyAlignment="1" applyProtection="1" pivotButton="0" quotePrefix="0" xfId="1">
      <alignment horizontal="center" vertical="center" wrapText="1"/>
      <protection locked="0" hidden="0"/>
    </xf>
    <xf numFmtId="1" fontId="1" fillId="4" borderId="2" applyAlignment="1" applyProtection="1" pivotButton="0" quotePrefix="0" xfId="1">
      <alignment horizontal="center" vertical="center" wrapText="1"/>
      <protection locked="0" hidden="0"/>
    </xf>
    <xf numFmtId="1" fontId="1" fillId="0" borderId="2" applyAlignment="1" applyProtection="1" pivotButton="0" quotePrefix="0" xfId="1">
      <alignment horizontal="center" vertical="center" wrapText="1"/>
      <protection locked="0" hidden="0"/>
    </xf>
    <xf numFmtId="0" fontId="10" fillId="0" borderId="13" applyAlignment="1" pivotButton="0" quotePrefix="0" xfId="0">
      <alignment horizontal="center" vertical="center" wrapText="1"/>
    </xf>
    <xf numFmtId="1" fontId="1" fillId="0" borderId="37" applyAlignment="1" applyProtection="1" pivotButton="0" quotePrefix="0" xfId="1">
      <alignment horizontal="center" vertical="center" wrapText="1"/>
      <protection locked="0" hidden="0"/>
    </xf>
    <xf numFmtId="1" fontId="1" fillId="0" borderId="5" applyAlignment="1" pivotButton="0" quotePrefix="0" xfId="1">
      <alignment horizontal="center" vertical="center" wrapText="1"/>
    </xf>
    <xf numFmtId="1" fontId="1" fillId="0" borderId="5" applyAlignment="1" pivotButton="0" quotePrefix="0" xfId="1">
      <alignment horizontal="center" vertical="center"/>
    </xf>
    <xf numFmtId="10" fontId="23" fillId="0" borderId="5" applyAlignment="1" pivotButton="0" quotePrefix="0" xfId="2">
      <alignment horizontal="center" vertical="center"/>
    </xf>
    <xf numFmtId="10" fontId="23" fillId="0" borderId="54" applyAlignment="1" pivotButton="0" quotePrefix="0" xfId="2">
      <alignment horizontal="center" vertical="center"/>
    </xf>
    <xf numFmtId="0" fontId="2" fillId="6" borderId="28" applyAlignment="1" applyProtection="1" pivotButton="0" quotePrefix="0" xfId="0">
      <alignment horizontal="center" vertical="center"/>
      <protection locked="0" hidden="0"/>
    </xf>
    <xf numFmtId="1" fontId="2" fillId="6" borderId="43" applyAlignment="1" applyProtection="1" pivotButton="0" quotePrefix="0" xfId="1">
      <alignment horizontal="center" vertical="center"/>
      <protection locked="0" hidden="0"/>
    </xf>
    <xf numFmtId="1" fontId="2" fillId="6" borderId="34" applyAlignment="1" pivotButton="0" quotePrefix="0" xfId="1">
      <alignment horizontal="center" vertical="center"/>
    </xf>
    <xf numFmtId="10" fontId="24" fillId="6" borderId="34" applyAlignment="1" pivotButton="0" quotePrefix="0" xfId="2">
      <alignment horizontal="center" vertical="center"/>
    </xf>
    <xf numFmtId="10" fontId="24" fillId="6" borderId="46" applyAlignment="1" pivotButton="0" quotePrefix="0" xfId="2">
      <alignment horizontal="center" vertical="center"/>
    </xf>
    <xf numFmtId="0" fontId="1" fillId="0" borderId="34" applyAlignment="1" applyProtection="1" pivotButton="0" quotePrefix="0" xfId="0">
      <alignment horizontal="center" vertical="center" wrapText="1"/>
      <protection locked="0" hidden="0"/>
    </xf>
    <xf numFmtId="0" fontId="1" fillId="0" borderId="44" applyAlignment="1" applyProtection="1" pivotButton="0" quotePrefix="0" xfId="0">
      <alignment horizontal="center" vertical="center" wrapText="1"/>
      <protection locked="0" hidden="0"/>
    </xf>
    <xf numFmtId="1" fontId="1" fillId="4" borderId="55" applyAlignment="1" pivotButton="0" quotePrefix="0" xfId="1">
      <alignment horizontal="center" vertical="center" wrapText="1"/>
    </xf>
    <xf numFmtId="1" fontId="1" fillId="0" borderId="9" applyAlignment="1" pivotButton="0" quotePrefix="0" xfId="1">
      <alignment horizontal="center" vertical="center" wrapText="1"/>
    </xf>
    <xf numFmtId="1" fontId="2" fillId="6" borderId="44" applyAlignment="1" pivotButton="0" quotePrefix="0" xfId="1">
      <alignment horizontal="center" vertical="center"/>
    </xf>
    <xf numFmtId="1" fontId="1" fillId="0" borderId="53" applyAlignment="1" pivotButton="0" quotePrefix="0" xfId="1">
      <alignment horizontal="center" vertical="center"/>
    </xf>
    <xf numFmtId="1" fontId="1" fillId="0" borderId="2" applyAlignment="1" pivotButton="0" quotePrefix="0" xfId="1">
      <alignment horizontal="center" vertical="center"/>
    </xf>
    <xf numFmtId="1" fontId="1" fillId="0" borderId="37" applyAlignment="1" pivotButton="0" quotePrefix="0" xfId="1">
      <alignment horizontal="center" vertical="center"/>
    </xf>
    <xf numFmtId="1" fontId="2" fillId="6" borderId="43" applyAlignment="1" pivotButton="0" quotePrefix="0" xfId="1">
      <alignment horizontal="center" vertical="center"/>
    </xf>
    <xf numFmtId="1" fontId="1" fillId="8" borderId="13" applyAlignment="1" pivotButton="0" quotePrefix="0" xfId="1">
      <alignment horizontal="center" vertical="center" wrapText="1"/>
    </xf>
    <xf numFmtId="1" fontId="1" fillId="8" borderId="14" applyAlignment="1" pivotButton="0" quotePrefix="0" xfId="1">
      <alignment horizontal="center" vertical="center" wrapText="1"/>
    </xf>
    <xf numFmtId="1" fontId="1" fillId="8" borderId="48" applyAlignment="1" pivotButton="0" quotePrefix="0" xfId="1">
      <alignment horizontal="center" vertical="center" wrapText="1"/>
    </xf>
    <xf numFmtId="1" fontId="2" fillId="6" borderId="28" applyAlignment="1" pivotButton="0" quotePrefix="0" xfId="1">
      <alignment horizontal="center" vertical="center"/>
    </xf>
    <xf numFmtId="0" fontId="1" fillId="0" borderId="45" applyAlignment="1" applyProtection="1" pivotButton="0" quotePrefix="0" xfId="0">
      <alignment horizontal="center" vertical="center" wrapText="1"/>
      <protection locked="0" hidden="0"/>
    </xf>
    <xf numFmtId="0" fontId="19" fillId="5" borderId="0" applyAlignment="1" pivotButton="0" quotePrefix="0" xfId="0">
      <alignment horizontal="left"/>
    </xf>
    <xf numFmtId="0" fontId="19" fillId="5" borderId="0" applyAlignment="1" pivotButton="0" quotePrefix="0" xfId="0">
      <alignment horizontal="left" wrapText="1"/>
    </xf>
    <xf numFmtId="0" fontId="29" fillId="0" borderId="23" applyAlignment="1" pivotButton="0" quotePrefix="0" xfId="0">
      <alignment horizontal="center" vertical="center" textRotation="90" wrapText="1"/>
    </xf>
    <xf numFmtId="0" fontId="29" fillId="0" borderId="12" applyAlignment="1" pivotButton="0" quotePrefix="0" xfId="0">
      <alignment horizontal="center" vertical="center" textRotation="90" wrapText="1"/>
    </xf>
    <xf numFmtId="0" fontId="29" fillId="0" borderId="2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8" applyAlignment="1" pivotButton="0" quotePrefix="0" xfId="0">
      <alignment horizontal="center" vertical="center" textRotation="90" wrapText="1"/>
    </xf>
    <xf numFmtId="0" fontId="1" fillId="0" borderId="16" applyAlignment="1" pivotButton="0" quotePrefix="0" xfId="0">
      <alignment horizontal="center" vertical="center" textRotation="90" wrapText="1"/>
    </xf>
    <xf numFmtId="0" fontId="1" fillId="0" borderId="15" applyAlignment="1" pivotButton="0" quotePrefix="0" xfId="0">
      <alignment horizontal="center" vertical="center" textRotation="90" wrapText="1"/>
    </xf>
    <xf numFmtId="0" fontId="1" fillId="0" borderId="11" applyAlignment="1" pivotButton="0" quotePrefix="0" xfId="0">
      <alignment horizontal="center" vertical="center" textRotation="90" wrapText="1"/>
    </xf>
    <xf numFmtId="0" fontId="1" fillId="0" borderId="17" applyAlignment="1" pivotButton="0" quotePrefix="0" xfId="0">
      <alignment horizontal="center" vertical="center" textRotation="90" wrapText="1"/>
    </xf>
    <xf numFmtId="0" fontId="1" fillId="0" borderId="32" applyAlignment="1" pivotButton="0" quotePrefix="0" xfId="0">
      <alignment horizontal="center" vertical="center" textRotation="90" wrapText="1"/>
    </xf>
    <xf numFmtId="0" fontId="1" fillId="0" borderId="33" applyAlignment="1" pivotButton="0" quotePrefix="0" xfId="0">
      <alignment horizontal="center" vertical="center" textRotation="90" wrapText="1"/>
    </xf>
    <xf numFmtId="0" fontId="1" fillId="0" borderId="41" applyAlignment="1" pivotButton="0" quotePrefix="0" xfId="0">
      <alignment horizontal="center" vertical="center" textRotation="90" wrapText="1"/>
    </xf>
    <xf numFmtId="0" fontId="25" fillId="0" borderId="13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24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" fillId="5" borderId="32" applyAlignment="1" pivotButton="0" quotePrefix="0" xfId="0">
      <alignment horizontal="center" vertical="center" textRotation="90" wrapText="1"/>
    </xf>
    <xf numFmtId="0" fontId="1" fillId="5" borderId="31" applyAlignment="1" pivotButton="0" quotePrefix="0" xfId="0">
      <alignment horizontal="center" vertical="center" textRotation="90" wrapText="1"/>
    </xf>
    <xf numFmtId="0" fontId="1" fillId="0" borderId="42" applyAlignment="1" pivotButton="0" quotePrefix="0" xfId="0">
      <alignment horizontal="center" vertical="center" textRotation="90" wrapText="1"/>
    </xf>
    <xf numFmtId="0" fontId="17" fillId="2" borderId="34" applyAlignment="1" pivotButton="0" quotePrefix="0" xfId="0">
      <alignment horizontal="center" vertical="center" wrapText="1"/>
    </xf>
    <xf numFmtId="0" fontId="17" fillId="2" borderId="46" applyAlignment="1" pivotButton="0" quotePrefix="0" xfId="0">
      <alignment horizontal="center" vertical="center" wrapText="1"/>
    </xf>
    <xf numFmtId="0" fontId="17" fillId="2" borderId="45" applyAlignment="1" pivotButton="0" quotePrefix="0" xfId="0">
      <alignment horizontal="center" vertical="center" wrapText="1"/>
    </xf>
    <xf numFmtId="0" fontId="26" fillId="4" borderId="28" applyAlignment="1" applyProtection="1" pivotButton="0" quotePrefix="0" xfId="0">
      <alignment horizontal="center" vertical="center"/>
      <protection locked="0" hidden="0"/>
    </xf>
    <xf numFmtId="0" fontId="9" fillId="4" borderId="6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3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0" borderId="3" applyAlignment="1" pivotButton="0" quotePrefix="0" xfId="0">
      <alignment horizontal="center" vertical="center" textRotation="90" wrapText="1"/>
    </xf>
    <xf numFmtId="0" fontId="1" fillId="0" borderId="29" applyAlignment="1" pivotButton="0" quotePrefix="0" xfId="0">
      <alignment horizontal="center" vertical="center" textRotation="90" wrapText="1"/>
    </xf>
    <xf numFmtId="0" fontId="16" fillId="0" borderId="0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8" fillId="2" borderId="32" applyAlignment="1" applyProtection="1" pivotButton="0" quotePrefix="0" xfId="0">
      <alignment horizontal="center" vertical="center" wrapText="1"/>
      <protection locked="0" hidden="0"/>
    </xf>
    <xf numFmtId="0" fontId="18" fillId="2" borderId="39" applyAlignment="1" applyProtection="1" pivotButton="0" quotePrefix="0" xfId="0">
      <alignment horizontal="center" vertical="center" wrapText="1"/>
      <protection locked="0" hidden="0"/>
    </xf>
    <xf numFmtId="0" fontId="29" fillId="0" borderId="43" applyAlignment="1" pivotButton="0" quotePrefix="0" xfId="0">
      <alignment horizontal="center" vertical="center" textRotation="90" wrapText="1"/>
    </xf>
    <xf numFmtId="0" fontId="1" fillId="0" borderId="34" applyAlignment="1" pivotButton="0" quotePrefix="0" xfId="0">
      <alignment horizontal="center" vertical="center" textRotation="90" wrapText="1"/>
    </xf>
    <xf numFmtId="0" fontId="1" fillId="0" borderId="44" applyAlignment="1" pivotButton="0" quotePrefix="0" xfId="0">
      <alignment horizontal="center" vertical="center" textRotation="90" wrapText="1"/>
    </xf>
    <xf numFmtId="0" fontId="0" fillId="0" borderId="31" pivotButton="0" quotePrefix="0" xfId="0"/>
    <xf numFmtId="0" fontId="0" fillId="0" borderId="49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33" pivotButton="0" quotePrefix="0" xfId="0"/>
    <xf numFmtId="0" fontId="0" fillId="0" borderId="43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41" pivotButton="0" quotePrefix="0" xfId="0"/>
    <xf numFmtId="0" fontId="1" fillId="0" borderId="56" applyAlignment="1" pivotButton="0" quotePrefix="0" xfId="0">
      <alignment horizontal="center" vertical="center" textRotation="90" wrapText="1"/>
    </xf>
    <xf numFmtId="0" fontId="0" fillId="0" borderId="42" pivotButton="0" quotePrefix="0" xfId="0"/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18" fillId="2" borderId="59" applyAlignment="1" applyProtection="1" pivotButton="0" quotePrefix="0" xfId="0">
      <alignment horizontal="center" vertical="center" wrapText="1"/>
      <protection locked="0" hidden="0"/>
    </xf>
    <xf numFmtId="0" fontId="0" fillId="0" borderId="39" applyProtection="1" pivotButton="0" quotePrefix="0" xfId="0">
      <protection locked="0" hidden="0"/>
    </xf>
    <xf numFmtId="0" fontId="1" fillId="0" borderId="28" applyAlignment="1" pivotButton="0" quotePrefix="0" xfId="0">
      <alignment horizontal="center" vertical="center" textRotation="90" wrapText="1"/>
    </xf>
    <xf numFmtId="0" fontId="0" fillId="0" borderId="29" pivotButton="0" quotePrefix="0" xfId="0"/>
  </cellXfs>
  <cellStyles count="3">
    <cellStyle name="Normal" xfId="0" builtinId="0"/>
    <cellStyle name="Milliers" xfId="1" builtinId="3"/>
    <cellStyle name="Pourcentage" xfId="2" builtinId="5"/>
  </cellStyles>
  <dxfs count="1">
    <dxf>
      <font>
        <b val="1"/>
        <color rgb="FFFF0000"/>
      </font>
      <border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Munuré Sevindi </author>
  </authors>
  <commentList>
    <comment ref="O7" authorId="0" shapeId="0">
      <text>
        <t>Munuré Sevindi :
Point de contrôle :
Texte en ROUGE si le résultat est DIFFERENT  au nombre de suffrage exprimés (colonne G)</t>
      </text>
    </comment>
    <comment ref="O8" authorId="0" shapeId="0">
      <text>
        <t>Munuré Sevindi :
Point de contrôle :
Texte en ROUGE si le résultat est DIFFERENT  au nombre de suffrage exprimés (colonne G)</t>
      </text>
    </comment>
    <comment ref="O9" authorId="0" shapeId="0">
      <text>
        <t>Munuré Sevindi :
Point de contrôle :
Texte en ROUGE si le résultat est DIFFERENT  au nombre de suffrage exprimés (colonne G)</t>
      </text>
    </comment>
    <comment ref="O10" authorId="0" shapeId="0">
      <text>
        <t>Munuré Sevindi :
Point de contrôle :
Texte en ROUGE si le résultat est DIFFERENT  au nombre de suffrage exprimés (colonne G)</t>
      </text>
    </comment>
    <comment ref="O11" authorId="0" shapeId="0">
      <text>
        <t>Munuré Sevindi :
Point de contrôle :
Texte en ROUGE si le résultat est DIFFERENT  au nombre de suffrage exprimés (colonne G)</t>
      </text>
    </comment>
    <comment ref="O12" authorId="0" shapeId="0">
      <text>
        <t>Munuré Sevindi :
Point de contrôle :
Texte en ROUGE si le résultat est DIFFERENT  au nombre de suffrage exprimés (colonne G)</t>
      </text>
    </comment>
    <comment ref="O13" authorId="0" shapeId="0">
      <text>
        <t>Munuré Sevindi :
Point de contrôle :
Texte en ROUGE si le résultat est DIFFERENT  au nombre de suffrage exprimés (colonne G)</t>
      </text>
    </comment>
    <comment ref="O14" authorId="0" shapeId="0">
      <text>
        <t>Munuré Sevindi :
Point de contrôle :
Texte en ROUGE si le résultat est DIFFERENT  au nombre de suffrage exprimés (colonne G)</t>
      </text>
    </comment>
    <comment ref="O15" authorId="0" shapeId="0">
      <text>
        <t>Munuré Sevindi :
Point de contrôle :
Texte en ROUGE si le résultat est DIFFERENT  au nombre de suffrage exprimés (colonne G)</t>
      </text>
    </comment>
    <comment ref="O16" authorId="0" shapeId="0">
      <text>
        <t>Munuré Sevindi :
Point de contrôle :
Texte en ROUGE si le résultat est DIFFERENT  au nombre de suffrage exprimés (colonne G)</t>
      </text>
    </comment>
    <comment ref="O17" authorId="0" shapeId="0">
      <text>
        <t>Munuré Sevindi :
Point de contrôle :
Texte en ROUGE si le résultat est DIFFERENT  au nombre de suffrage exprimés (colonne G)</t>
      </text>
    </comment>
    <comment ref="O18" authorId="0" shapeId="0">
      <text>
        <t>Munuré Sevindi :
Point de contrôle :
Texte en ROUGE si le résultat est DIFFERENT  au nombre de suffrage exprimés (colonne G)</t>
      </text>
    </comment>
    <comment ref="O19" authorId="0" shapeId="0">
      <text>
        <t>Munuré Sevindi :
Point de contrôle :
Texte en ROUGE si le résultat est DIFFERENT  au nombre de suffrage exprimés (colonne G)</t>
      </text>
    </comment>
    <comment ref="O20" authorId="0" shapeId="0">
      <text>
        <t>Munuré Sevindi :
Point de contrôle :
Texte en ROUGE si le résultat est DIFFERENT  au nombre de suffrage exprimés (colonne G)</t>
      </text>
    </comment>
  </commentList>
</comments>
</file>

<file path=xl/comments/comment2.xml><?xml version="1.0" encoding="utf-8"?>
<comments xmlns="http://schemas.openxmlformats.org/spreadsheetml/2006/main">
  <authors>
    <author>Munuré Sevindi </author>
  </authors>
  <commentList>
    <comment ref="C9" authorId="0" shapeId="0">
      <text>
        <t>Munuré Sevindi :
Point de contrôle :
Texte en ROUGE si le résultat est DIFFERENT au résultat du PV centralisateur (cellule G20)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1577853</colOff>
      <row>2</row>
      <rowOff>998701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77853" cy="22790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11206</rowOff>
    </from>
    <to>
      <col>1</col>
      <colOff>613522</colOff>
      <row>2</row>
      <rowOff>192181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1206"/>
          <a:ext cx="904875" cy="1323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1577853</colOff>
      <row>4</row>
      <rowOff>59456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77853" cy="22707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2:R24"/>
  <sheetViews>
    <sheetView showGridLines="0" zoomScale="70" zoomScaleNormal="70" workbookViewId="0">
      <selection activeCell="H2" sqref="H2"/>
    </sheetView>
  </sheetViews>
  <sheetFormatPr baseColWidth="10" defaultColWidth="0.42578125" defaultRowHeight="15"/>
  <cols>
    <col width="53.7109375" customWidth="1" style="14" min="1" max="1"/>
    <col width="16.7109375" customWidth="1" style="5" min="2" max="2"/>
    <col width="16.7109375" customWidth="1" style="14" min="3" max="14"/>
    <col width="11.42578125" customWidth="1" style="14" min="15" max="15"/>
    <col width="15.7109375" customWidth="1" style="14" min="16" max="17"/>
    <col width="10.7109375" customWidth="1" style="7" min="18" max="18"/>
    <col width="1.7109375" customWidth="1" style="14" min="19" max="20"/>
    <col width="8" customWidth="1" style="14" min="21" max="21"/>
    <col width="1.7109375" customWidth="1" style="14" min="22" max="542"/>
    <col width="0.42578125" customWidth="1" style="14" min="543" max="16384"/>
  </cols>
  <sheetData>
    <row r="1" ht="15.75" customHeight="1"/>
    <row r="2" ht="84.95" customHeight="1">
      <c r="B2" s="155" t="inlineStr">
        <is>
          <t>ÉLECTIONS  MUNICIPALES 
2026</t>
        </is>
      </c>
      <c r="G2" s="155" t="n"/>
      <c r="H2" s="155" t="n"/>
      <c r="I2" s="155" t="n"/>
      <c r="J2" s="155" t="n"/>
      <c r="K2" s="155" t="n"/>
      <c r="L2" s="155" t="n"/>
      <c r="M2" s="155" t="n"/>
      <c r="N2" s="155" t="n"/>
    </row>
    <row r="3" ht="84.95" customHeight="1" thickBot="1">
      <c r="G3" s="155" t="n"/>
      <c r="H3" s="155" t="n"/>
      <c r="I3" s="155" t="n"/>
      <c r="J3" s="155" t="n"/>
      <c r="K3" s="155" t="n"/>
      <c r="L3" s="155" t="n"/>
      <c r="M3" s="155" t="n"/>
      <c r="N3" s="155" t="n"/>
    </row>
    <row r="4" ht="103.5" customFormat="1" customHeight="1" s="14" thickBot="1">
      <c r="A4" s="151" t="inlineStr">
        <is>
          <t>Bureaux</t>
        </is>
      </c>
      <c r="B4" s="178" t="inlineStr">
        <is>
          <t>Nombre d'électeurs inscrits</t>
        </is>
      </c>
      <c r="C4" s="179" t="inlineStr">
        <is>
          <t>Nombre de votants 
(enveloppes et bulletins sans enveloppe trouvés dans les urnes)</t>
        </is>
      </c>
      <c r="D4" s="180" t="inlineStr">
        <is>
          <t>Nombre de bulletins et enveloppes annulés</t>
        </is>
      </c>
      <c r="E4" s="180" t="inlineStr">
        <is>
          <t>Nombre de bulletins blancs (3)</t>
        </is>
      </c>
      <c r="F4" s="172" t="inlineStr">
        <is>
          <t>Nombre de suffrages exprimés (4)</t>
        </is>
      </c>
      <c r="G4" s="156" t="n"/>
      <c r="H4" s="181" t="n"/>
      <c r="I4" s="181" t="n"/>
      <c r="J4" s="181" t="n"/>
      <c r="K4" s="181" t="n"/>
      <c r="L4" s="181" t="n"/>
      <c r="M4" s="181" t="n"/>
      <c r="N4" s="64" t="n"/>
      <c r="O4" s="40" t="n"/>
      <c r="P4" s="3" t="n"/>
      <c r="Q4" s="3" t="n"/>
      <c r="R4" s="7" t="n"/>
    </row>
    <row r="5" ht="24" customFormat="1" customHeight="1" s="14" thickBot="1">
      <c r="A5" s="182" t="n"/>
      <c r="B5" s="183" t="n"/>
      <c r="C5" s="184" t="n"/>
      <c r="D5" s="185" t="n"/>
      <c r="E5" s="185" t="n"/>
      <c r="F5" s="186" t="n"/>
      <c r="G5" s="161" t="inlineStr">
        <is>
          <t>Candidat n°1</t>
        </is>
      </c>
      <c r="H5" s="187" t="n"/>
      <c r="I5" s="159" t="inlineStr">
        <is>
          <t>Candidat n°2</t>
        </is>
      </c>
      <c r="J5" s="187" t="n"/>
      <c r="K5" s="159" t="inlineStr">
        <is>
          <t>Candidat n°3</t>
        </is>
      </c>
      <c r="L5" s="187" t="n"/>
      <c r="M5" s="159" t="inlineStr">
        <is>
          <t>Candidat n°4</t>
        </is>
      </c>
      <c r="N5" s="187" t="n"/>
      <c r="O5" s="39" t="n"/>
      <c r="P5" s="3" t="n"/>
      <c r="Q5" s="3" t="n"/>
      <c r="R5" s="7" t="n"/>
    </row>
    <row r="6" ht="173.25" customHeight="1" thickBot="1">
      <c r="A6" s="188" t="n"/>
      <c r="B6" s="189" t="n"/>
      <c r="C6" s="190" t="n"/>
      <c r="D6" s="191" t="n"/>
      <c r="E6" s="191" t="n"/>
      <c r="F6" s="192" t="n"/>
      <c r="G6" s="193" t="n"/>
      <c r="H6" s="194" t="n"/>
      <c r="I6" s="193" t="n"/>
      <c r="J6" s="194" t="n"/>
      <c r="K6" s="193" t="n"/>
      <c r="L6" s="194" t="n"/>
      <c r="M6" s="193" t="n"/>
      <c r="N6" s="194" t="n"/>
      <c r="O6" s="61" t="inlineStr">
        <is>
          <t>CONTRÔLE</t>
        </is>
      </c>
      <c r="P6" s="65" t="inlineStr">
        <is>
          <t>PROCURATIONS</t>
        </is>
      </c>
      <c r="R6" s="14" t="n"/>
    </row>
    <row r="7" ht="50.1" customHeight="1">
      <c r="A7" s="15" t="inlineStr">
        <is>
          <t>BV1
Mairie 
Place Charles de Gaulle</t>
        </is>
      </c>
      <c r="B7" s="62" t="n"/>
      <c r="C7" s="62" t="n"/>
      <c r="D7" s="62" t="n"/>
      <c r="E7" s="66" t="n"/>
      <c r="F7" s="74">
        <f>C7-D7-E7</f>
        <v/>
      </c>
      <c r="G7" s="70" t="n"/>
      <c r="H7" s="63">
        <f>G7/F7</f>
        <v/>
      </c>
      <c r="I7" s="62" t="n"/>
      <c r="J7" s="63">
        <f>I7/F7</f>
        <v/>
      </c>
      <c r="K7" s="62" t="n"/>
      <c r="L7" s="63">
        <f>K7/F7</f>
        <v/>
      </c>
      <c r="M7" s="62" t="n"/>
      <c r="N7" s="76">
        <f>M7/F7</f>
        <v/>
      </c>
      <c r="O7" s="74">
        <f>G7+I7+K7+M7</f>
        <v/>
      </c>
      <c r="P7" s="79" t="n">
        <v>0</v>
      </c>
      <c r="R7" s="14" t="n"/>
    </row>
    <row r="8" ht="50.1" customHeight="1">
      <c r="A8" s="16" t="inlineStr">
        <is>
          <t>BV2
Groupe scolaire de l'Agiot
Square de Beaufortin</t>
        </is>
      </c>
      <c r="B8" s="42" t="n"/>
      <c r="C8" s="42" t="n"/>
      <c r="D8" s="42" t="n"/>
      <c r="E8" s="67" t="n"/>
      <c r="F8" s="75">
        <f>C8-D8-E8</f>
        <v/>
      </c>
      <c r="G8" s="71" t="n"/>
      <c r="H8" s="60">
        <f>G8/F8</f>
        <v/>
      </c>
      <c r="I8" s="42" t="n"/>
      <c r="J8" s="60">
        <f>I8/F8</f>
        <v/>
      </c>
      <c r="K8" s="42" t="n"/>
      <c r="L8" s="60">
        <f>K8/F8</f>
        <v/>
      </c>
      <c r="M8" s="42" t="n"/>
      <c r="N8" s="77">
        <f>M8/F8</f>
        <v/>
      </c>
      <c r="O8" s="83">
        <f>G8+I8+K8+M8</f>
        <v/>
      </c>
      <c r="P8" s="80" t="n"/>
      <c r="R8" s="14" t="n"/>
    </row>
    <row r="9" ht="50.1" customHeight="1">
      <c r="A9" s="17" t="inlineStr">
        <is>
          <t>BV3
Ecole élémentaire Malmedonne 
Avenue du Rouergue</t>
        </is>
      </c>
      <c r="B9" s="99" t="n"/>
      <c r="C9" s="99" t="n"/>
      <c r="D9" s="99" t="n"/>
      <c r="E9" s="68" t="n"/>
      <c r="F9" s="75">
        <f>C9-D9-E9</f>
        <v/>
      </c>
      <c r="G9" s="129" t="n"/>
      <c r="H9" s="59">
        <f>G9/F9</f>
        <v/>
      </c>
      <c r="I9" s="99" t="n"/>
      <c r="J9" s="59">
        <f>I9/F9</f>
        <v/>
      </c>
      <c r="K9" s="99" t="n"/>
      <c r="L9" s="59">
        <f>K9/F9</f>
        <v/>
      </c>
      <c r="M9" s="99" t="n"/>
      <c r="N9" s="78">
        <f>M9/F9</f>
        <v/>
      </c>
      <c r="O9" s="83">
        <f>G9+I9+K9+M9</f>
        <v/>
      </c>
      <c r="P9" s="81" t="n"/>
      <c r="R9" s="14" t="n"/>
    </row>
    <row r="10" ht="50.1" customHeight="1">
      <c r="A10" s="16" t="inlineStr">
        <is>
          <t>BV4
Ecole Maternelle Haute-Futaie
 Avenue de Touraine</t>
        </is>
      </c>
      <c r="B10" s="50" t="n"/>
      <c r="C10" s="50" t="n"/>
      <c r="D10" s="50" t="n"/>
      <c r="E10" s="69" t="n"/>
      <c r="F10" s="75">
        <f>C10-D10-E10</f>
        <v/>
      </c>
      <c r="G10" s="73" t="n"/>
      <c r="H10" s="60">
        <f>G10/F10</f>
        <v/>
      </c>
      <c r="I10" s="50" t="n"/>
      <c r="J10" s="60">
        <f>I10/F10</f>
        <v/>
      </c>
      <c r="K10" s="50" t="n"/>
      <c r="L10" s="60">
        <f>K10/F10</f>
        <v/>
      </c>
      <c r="M10" s="50" t="n"/>
      <c r="N10" s="77">
        <f>M10/F10</f>
        <v/>
      </c>
      <c r="O10" s="83">
        <f>G10+I10+K10+M10</f>
        <v/>
      </c>
      <c r="P10" s="82" t="n"/>
      <c r="R10" s="14" t="n"/>
    </row>
    <row r="11" ht="50.1" customHeight="1">
      <c r="A11" s="17" t="inlineStr">
        <is>
          <t>BV5
Espace Albert Camus 
Rue de la Beauce</t>
        </is>
      </c>
      <c r="B11" s="99" t="n"/>
      <c r="C11" s="99" t="n"/>
      <c r="D11" s="99" t="n"/>
      <c r="E11" s="68" t="n"/>
      <c r="F11" s="75">
        <f>C11-D11-E11</f>
        <v/>
      </c>
      <c r="G11" s="129" t="n"/>
      <c r="H11" s="59">
        <f>G11/F11</f>
        <v/>
      </c>
      <c r="I11" s="99" t="n"/>
      <c r="J11" s="59">
        <f>I11/F11</f>
        <v/>
      </c>
      <c r="K11" s="99" t="n"/>
      <c r="L11" s="59">
        <f>K11/F11</f>
        <v/>
      </c>
      <c r="M11" s="99" t="n"/>
      <c r="N11" s="78">
        <f>M11/F11</f>
        <v/>
      </c>
      <c r="O11" s="83">
        <f>G11+I11+K11+M11</f>
        <v/>
      </c>
      <c r="P11" s="81" t="n"/>
      <c r="R11" s="14" t="n"/>
    </row>
    <row r="12" ht="50.1" customHeight="1">
      <c r="A12" s="16" t="inlineStr">
        <is>
          <t>BV6
Groupe scolaire Les Coudrays 
Avenue de Picardie</t>
        </is>
      </c>
      <c r="B12" s="50" t="n"/>
      <c r="C12" s="50" t="n"/>
      <c r="D12" s="50" t="n"/>
      <c r="E12" s="69" t="n"/>
      <c r="F12" s="75">
        <f>C12-D12-E12</f>
        <v/>
      </c>
      <c r="G12" s="73" t="n"/>
      <c r="H12" s="60">
        <f>G12/F12</f>
        <v/>
      </c>
      <c r="I12" s="50" t="n"/>
      <c r="J12" s="60">
        <f>I12/F12</f>
        <v/>
      </c>
      <c r="K12" s="50" t="n"/>
      <c r="L12" s="60">
        <f>K12/F12</f>
        <v/>
      </c>
      <c r="M12" s="50" t="n"/>
      <c r="N12" s="77">
        <f>M12/F12</f>
        <v/>
      </c>
      <c r="O12" s="83">
        <f>G12+I12+K12+M12</f>
        <v/>
      </c>
      <c r="P12" s="82" t="n"/>
      <c r="R12" s="14" t="n"/>
    </row>
    <row r="13" ht="50.1" customHeight="1">
      <c r="A13" s="17" t="inlineStr">
        <is>
          <t>BV7
École élémentaire  Les Bessières  
Rue de Noirmoutier</t>
        </is>
      </c>
      <c r="B13" s="99" t="n"/>
      <c r="C13" s="99" t="n"/>
      <c r="D13" s="99" t="n"/>
      <c r="E13" s="68" t="n"/>
      <c r="F13" s="75">
        <f>C13-D13-E13</f>
        <v/>
      </c>
      <c r="G13" s="129" t="n"/>
      <c r="H13" s="59">
        <f>G13/F13</f>
        <v/>
      </c>
      <c r="I13" s="99" t="n"/>
      <c r="J13" s="59">
        <f>I13/F13</f>
        <v/>
      </c>
      <c r="K13" s="99" t="n"/>
      <c r="L13" s="59">
        <f>K13/F13</f>
        <v/>
      </c>
      <c r="M13" s="99" t="n"/>
      <c r="N13" s="78">
        <f>M13/F13</f>
        <v/>
      </c>
      <c r="O13" s="83">
        <f>G13+I13+K13+M13</f>
        <v/>
      </c>
      <c r="P13" s="81" t="n"/>
      <c r="R13" s="14" t="n"/>
    </row>
    <row r="14" ht="50.1" customHeight="1">
      <c r="A14" s="16" t="inlineStr">
        <is>
          <t>BV8
Centre de Loisirs du Bout des Clos 
 Chemin des petits fossés</t>
        </is>
      </c>
      <c r="B14" s="50" t="n"/>
      <c r="C14" s="50" t="n"/>
      <c r="D14" s="50" t="n"/>
      <c r="E14" s="69" t="n"/>
      <c r="F14" s="75">
        <f>C14-D14-E14</f>
        <v/>
      </c>
      <c r="G14" s="73" t="n"/>
      <c r="H14" s="60">
        <f>G14/F14</f>
        <v/>
      </c>
      <c r="I14" s="50" t="n"/>
      <c r="J14" s="60">
        <f>I14/F14</f>
        <v/>
      </c>
      <c r="K14" s="50" t="n"/>
      <c r="L14" s="60">
        <f>K14/F14</f>
        <v/>
      </c>
      <c r="M14" s="50" t="n"/>
      <c r="N14" s="77">
        <f>M14/F14</f>
        <v/>
      </c>
      <c r="O14" s="83">
        <f>G14+I14+K14+M14</f>
        <v/>
      </c>
      <c r="P14" s="82" t="n"/>
      <c r="R14" s="14" t="n"/>
    </row>
    <row r="15" ht="50.1" customHeight="1">
      <c r="A15" s="17" t="inlineStr">
        <is>
          <t>BV9
École élémentaire La Marnière 
 29 Avenue du Trégor</t>
        </is>
      </c>
      <c r="B15" s="99" t="n"/>
      <c r="C15" s="99" t="n"/>
      <c r="D15" s="99" t="n"/>
      <c r="E15" s="68" t="n"/>
      <c r="F15" s="75">
        <f>C15-D15-E15</f>
        <v/>
      </c>
      <c r="G15" s="129" t="n"/>
      <c r="H15" s="59">
        <f>G15/F15</f>
        <v/>
      </c>
      <c r="I15" s="99" t="n"/>
      <c r="J15" s="59">
        <f>I15/F15</f>
        <v/>
      </c>
      <c r="K15" s="99" t="n"/>
      <c r="L15" s="59">
        <f>K15/F15</f>
        <v/>
      </c>
      <c r="M15" s="99" t="n"/>
      <c r="N15" s="78">
        <f>M15/F15</f>
        <v/>
      </c>
      <c r="O15" s="83">
        <f>G15+I15+K15+M15</f>
        <v/>
      </c>
      <c r="P15" s="81" t="n"/>
      <c r="R15" s="14" t="n"/>
    </row>
    <row r="16" ht="50.1" customHeight="1">
      <c r="A16" s="16" t="inlineStr">
        <is>
          <t>BV10
Centre Éducatif et Sportif de l'Agiot (CESA)
Square du Dauphiné</t>
        </is>
      </c>
      <c r="B16" s="50" t="n"/>
      <c r="C16" s="50" t="n"/>
      <c r="D16" s="50" t="n"/>
      <c r="E16" s="69" t="n"/>
      <c r="F16" s="75">
        <f>C16-D16-E16</f>
        <v/>
      </c>
      <c r="G16" s="73" t="n"/>
      <c r="H16" s="60">
        <f>G16/F16</f>
        <v/>
      </c>
      <c r="I16" s="50" t="n"/>
      <c r="J16" s="60">
        <f>I16/F16</f>
        <v/>
      </c>
      <c r="K16" s="50" t="n"/>
      <c r="L16" s="60">
        <f>K16/F16</f>
        <v/>
      </c>
      <c r="M16" s="50" t="n"/>
      <c r="N16" s="77">
        <f>M16/F16</f>
        <v/>
      </c>
      <c r="O16" s="83">
        <f>G16+I16+K16+M16</f>
        <v/>
      </c>
      <c r="P16" s="82" t="n"/>
      <c r="R16" s="14" t="n"/>
    </row>
    <row r="17" ht="50.1" customHeight="1">
      <c r="A17" s="17" t="inlineStr">
        <is>
          <t>BV11
École maternelle La Marnière
29 avenue du Trégor</t>
        </is>
      </c>
      <c r="B17" s="99" t="n"/>
      <c r="C17" s="99" t="n"/>
      <c r="D17" s="99" t="n"/>
      <c r="E17" s="68" t="n"/>
      <c r="F17" s="75">
        <f>C17-D17-E17</f>
        <v/>
      </c>
      <c r="G17" s="129" t="n"/>
      <c r="H17" s="59">
        <f>G17/F17</f>
        <v/>
      </c>
      <c r="I17" s="99" t="n"/>
      <c r="J17" s="59">
        <f>I17/F17</f>
        <v/>
      </c>
      <c r="K17" s="99" t="n"/>
      <c r="L17" s="59">
        <f>K17/F17</f>
        <v/>
      </c>
      <c r="M17" s="99" t="n"/>
      <c r="N17" s="78">
        <f>M17/F17</f>
        <v/>
      </c>
      <c r="O17" s="83">
        <f>G17+I17+K17+M17</f>
        <v/>
      </c>
      <c r="P17" s="81" t="n"/>
      <c r="R17" s="14" t="n"/>
    </row>
    <row r="18" ht="50.1" customHeight="1">
      <c r="A18" s="16" t="inlineStr">
        <is>
          <t>BV12
Groupe scolaire Les Friches 
 Place du Doubs</t>
        </is>
      </c>
      <c r="B18" s="50" t="n"/>
      <c r="C18" s="50" t="n"/>
      <c r="D18" s="50" t="n"/>
      <c r="E18" s="69" t="n"/>
      <c r="F18" s="75">
        <f>C18-D18-E18</f>
        <v/>
      </c>
      <c r="G18" s="73" t="n"/>
      <c r="H18" s="60">
        <f>G18/F18</f>
        <v/>
      </c>
      <c r="I18" s="50" t="n"/>
      <c r="J18" s="60">
        <f>I18/F18</f>
        <v/>
      </c>
      <c r="K18" s="50" t="n"/>
      <c r="L18" s="60">
        <f>K18/F18</f>
        <v/>
      </c>
      <c r="M18" s="50" t="n"/>
      <c r="N18" s="77">
        <f>M18/F18</f>
        <v/>
      </c>
      <c r="O18" s="83">
        <f>G18+I18+K18+M18</f>
        <v/>
      </c>
      <c r="P18" s="82" t="n"/>
      <c r="R18" s="14" t="n"/>
    </row>
    <row r="19" ht="50.1" customHeight="1" thickBot="1">
      <c r="A19" s="84" t="inlineStr">
        <is>
          <t xml:space="preserve">BV13
École maternelle Chapiteau
Allée des Tilleuls </t>
        </is>
      </c>
      <c r="B19" s="115" t="n"/>
      <c r="C19" s="115" t="n"/>
      <c r="D19" s="115" t="n"/>
      <c r="E19" s="86" t="n"/>
      <c r="F19" s="88">
        <f>C19-D19-E19</f>
        <v/>
      </c>
      <c r="G19" s="130" t="n"/>
      <c r="H19" s="90">
        <f>G19/F19</f>
        <v/>
      </c>
      <c r="I19" s="115" t="n"/>
      <c r="J19" s="90">
        <f>I19/F19</f>
        <v/>
      </c>
      <c r="K19" s="115" t="n"/>
      <c r="L19" s="90">
        <f>K19/F19</f>
        <v/>
      </c>
      <c r="M19" s="115" t="n"/>
      <c r="N19" s="91">
        <f>M19/F19</f>
        <v/>
      </c>
      <c r="O19" s="92">
        <f>G19+I19+K19+M19</f>
        <v/>
      </c>
      <c r="P19" s="93" t="n"/>
      <c r="R19" s="14" t="n"/>
    </row>
    <row r="20" ht="50.1" customHeight="1" thickBot="1">
      <c r="A20" s="95" t="inlineStr">
        <is>
          <t xml:space="preserve">Totaux </t>
        </is>
      </c>
      <c r="B20" s="87">
        <f>SUM(B7:B19)</f>
        <v/>
      </c>
      <c r="C20" s="87">
        <f>SUM(C7:C19)</f>
        <v/>
      </c>
      <c r="D20" s="87">
        <f>SUM(D7:D19)</f>
        <v/>
      </c>
      <c r="E20" s="87">
        <f>SUM(E7:E19)</f>
        <v/>
      </c>
      <c r="F20" s="96">
        <f>C20-D20-E20</f>
        <v/>
      </c>
      <c r="G20" s="87">
        <f>SUM(G7:G19)</f>
        <v/>
      </c>
      <c r="H20" s="94">
        <f>G20/F20</f>
        <v/>
      </c>
      <c r="I20" s="87">
        <f>SUM(I7:I19)</f>
        <v/>
      </c>
      <c r="J20" s="94">
        <f>I20/F20</f>
        <v/>
      </c>
      <c r="K20" s="87">
        <f>SUM(K7:K19)</f>
        <v/>
      </c>
      <c r="L20" s="94">
        <f>K20/F20</f>
        <v/>
      </c>
      <c r="M20" s="87">
        <f>SUM(M7:M19)</f>
        <v/>
      </c>
      <c r="N20" s="94">
        <f>M20/F20</f>
        <v/>
      </c>
      <c r="O20" s="97">
        <f>G20+I20+K20+M20</f>
        <v/>
      </c>
      <c r="P20" s="98">
        <f>SUM(P7:P19)</f>
        <v/>
      </c>
      <c r="R20" s="14" t="n"/>
    </row>
    <row r="21" ht="15.75" customFormat="1" customHeight="1" s="14">
      <c r="B21" s="10" t="n"/>
      <c r="C21" s="10" t="n"/>
      <c r="D21" s="10" t="n"/>
      <c r="E21" s="10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4" t="n"/>
      <c r="P21" s="14" t="n"/>
    </row>
    <row r="22" ht="26.25" customHeight="1">
      <c r="A22" s="138" t="inlineStr">
        <is>
          <t>(5) Les bulletins blancs (de couleur blanche sans aucune mention) et les enveloppes vides sans bulletins sont exclus du champ des bulletins nuls.
Ils sont décomptés séparément et annexés au procés-verbal sans être pris en compte dans la détermination des suffrages exprimés.</t>
        </is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6" t="n"/>
      <c r="P22" s="14" t="n"/>
      <c r="Q22" s="6" t="n"/>
    </row>
    <row r="23">
      <c r="A23" s="137" t="inlineStr">
        <is>
          <t>(6) Ce nombre correspond à la différence entre le résultat de la colonne 4 est celui des colonnes 5 et 6.</t>
        </is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4" t="n"/>
      <c r="P23" s="4" t="n"/>
      <c r="Q23" s="4" t="n"/>
    </row>
    <row r="24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</sheetData>
  <mergeCells count="18">
    <mergeCell ref="D4:D6"/>
    <mergeCell ref="A4:A6"/>
    <mergeCell ref="I6:J6"/>
    <mergeCell ref="B4:B6"/>
    <mergeCell ref="M6:N6"/>
    <mergeCell ref="B2:F3"/>
    <mergeCell ref="E4:E6"/>
    <mergeCell ref="G4:M4"/>
    <mergeCell ref="G5:H5"/>
    <mergeCell ref="K5:L5"/>
    <mergeCell ref="I5:J5"/>
    <mergeCell ref="A23:E23"/>
    <mergeCell ref="M5:N5"/>
    <mergeCell ref="G6:H6"/>
    <mergeCell ref="K6:L6"/>
    <mergeCell ref="A22:E22"/>
    <mergeCell ref="C4:C6"/>
    <mergeCell ref="F4:F6"/>
  </mergeCells>
  <printOptions verticalCentered="1"/>
  <pageMargins left="0.2362204724409449" right="0.4330708661417323" top="0.9448818897637796" bottom="0.5511811023622047" header="0.5118110236220472" footer="0.5118110236220472"/>
  <pageSetup orientation="landscape" paperSize="8" scale="6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D19"/>
  <sheetViews>
    <sheetView showGridLines="0" tabSelected="1" zoomScale="86" zoomScaleNormal="86" zoomScalePageLayoutView="85" workbookViewId="0">
      <selection activeCell="F10" sqref="F10"/>
    </sheetView>
  </sheetViews>
  <sheetFormatPr baseColWidth="10" defaultColWidth="11.42578125" defaultRowHeight="12.75"/>
  <cols>
    <col width="4.28515625" customWidth="1" style="171" min="1" max="1"/>
    <col width="44.85546875" customWidth="1" style="171" min="2" max="2"/>
    <col width="33.42578125" customWidth="1" style="171" min="3" max="3"/>
    <col width="22.42578125" customWidth="1" style="20" min="4" max="4"/>
    <col width="11.42578125" customWidth="1" style="171" min="5" max="16384"/>
  </cols>
  <sheetData>
    <row r="1" ht="27" customHeight="1">
      <c r="A1" s="165" t="inlineStr">
        <is>
          <t>MAUREPAS (Yvelines)</t>
        </is>
      </c>
      <c r="B1" s="195" t="n"/>
      <c r="C1" s="195" t="n"/>
      <c r="D1" s="195" t="n"/>
    </row>
    <row r="2" ht="62.25" customHeight="1">
      <c r="A2" s="166" t="inlineStr">
        <is>
          <t>Élections Municipales 
2026</t>
        </is>
      </c>
      <c r="B2" s="195" t="n"/>
      <c r="C2" s="195" t="n"/>
      <c r="D2" s="195" t="n"/>
    </row>
    <row r="3" ht="22.5" customHeight="1">
      <c r="A3" s="168" t="n"/>
      <c r="B3" s="195" t="n"/>
      <c r="C3" s="195" t="n"/>
      <c r="D3" s="195" t="n"/>
    </row>
    <row r="4" ht="18.75" customHeight="1" thickBot="1">
      <c r="A4" s="19" t="n"/>
      <c r="B4" s="171" t="n"/>
      <c r="C4" s="195" t="n"/>
    </row>
    <row r="5" ht="39.95" customHeight="1" thickBot="1" thickTop="1">
      <c r="A5" s="169" t="inlineStr">
        <is>
          <t>Nombre d’inscrits</t>
        </is>
      </c>
      <c r="B5" s="196" t="n"/>
      <c r="C5" s="23">
        <f>'pv centralisateur'!B20</f>
        <v/>
      </c>
      <c r="D5" s="24" t="n"/>
    </row>
    <row r="6" ht="39.95" customHeight="1" thickTop="1">
      <c r="A6" s="169" t="inlineStr">
        <is>
          <t>Nombre de votants</t>
        </is>
      </c>
      <c r="B6" s="196" t="n"/>
      <c r="C6" s="55">
        <f>'pv centralisateur'!C20</f>
        <v/>
      </c>
      <c r="D6" s="26">
        <f>C6/C5</f>
        <v/>
      </c>
    </row>
    <row r="7" ht="39.95" customHeight="1">
      <c r="A7" s="169" t="inlineStr">
        <is>
          <t>Nombre de bulletins annulés</t>
        </is>
      </c>
      <c r="B7" s="196" t="n"/>
      <c r="C7" s="25">
        <f>'pv centralisateur'!D20</f>
        <v/>
      </c>
      <c r="D7" s="27">
        <f>C7/C6</f>
        <v/>
      </c>
    </row>
    <row r="8" ht="39.95" customHeight="1" thickBot="1">
      <c r="A8" s="169" t="inlineStr">
        <is>
          <t>Nombre de bulletins blancs</t>
        </is>
      </c>
      <c r="B8" s="196" t="n"/>
      <c r="C8" s="28">
        <f>'pv centralisateur'!E20</f>
        <v/>
      </c>
      <c r="D8" s="29">
        <f>C8/C6</f>
        <v/>
      </c>
    </row>
    <row r="9" ht="39.95" customHeight="1" thickBot="1" thickTop="1">
      <c r="A9" s="169" t="inlineStr">
        <is>
          <t>Suffrages exprimés</t>
        </is>
      </c>
      <c r="B9" s="196" t="n"/>
      <c r="C9" s="30">
        <f>C6-C7-C8</f>
        <v/>
      </c>
      <c r="D9" s="31">
        <f>C9/C5</f>
        <v/>
      </c>
    </row>
    <row r="10" ht="30" customHeight="1" thickBot="1" thickTop="1">
      <c r="A10" s="19" t="n"/>
    </row>
    <row r="11" ht="39.95" customHeight="1" thickBot="1">
      <c r="A11" s="163" t="inlineStr">
        <is>
          <t>Candidats</t>
        </is>
      </c>
      <c r="B11" s="197" t="n"/>
      <c r="C11" s="22" t="inlineStr">
        <is>
          <t>Nombre de voix</t>
        </is>
      </c>
      <c r="D11" s="21" t="n"/>
    </row>
    <row r="12" ht="39.95" customHeight="1" thickBot="1">
      <c r="A12" s="51" t="n">
        <v>1</v>
      </c>
      <c r="B12" s="56" t="n"/>
      <c r="C12" s="52">
        <f>'pv centralisateur'!G20</f>
        <v/>
      </c>
      <c r="D12" s="41">
        <f>C12/$C$9</f>
        <v/>
      </c>
    </row>
    <row r="13" ht="39.95" customHeight="1" thickBot="1">
      <c r="A13" s="51" t="n">
        <v>2</v>
      </c>
      <c r="B13" s="57" t="n"/>
      <c r="C13" s="52">
        <f>'pv centralisateur'!I20</f>
        <v/>
      </c>
      <c r="D13" s="41">
        <f>C13/$C$9</f>
        <v/>
      </c>
    </row>
    <row r="14" ht="39.95" customHeight="1" thickBot="1">
      <c r="A14" s="51" t="n">
        <v>3</v>
      </c>
      <c r="B14" s="56" t="n"/>
      <c r="C14" s="52">
        <f>'pv centralisateur'!K20</f>
        <v/>
      </c>
      <c r="D14" s="41">
        <f>C14/$C$9</f>
        <v/>
      </c>
    </row>
    <row r="15" ht="39.95" customHeight="1" thickBot="1">
      <c r="A15" s="51" t="n">
        <v>4</v>
      </c>
      <c r="B15" s="56" t="n"/>
      <c r="C15" s="52">
        <f>'pv centralisateur'!M20</f>
        <v/>
      </c>
      <c r="D15" s="41">
        <f>C15/$C$9</f>
        <v/>
      </c>
    </row>
    <row r="16" ht="39.95" customHeight="1" thickBot="1">
      <c r="A16" s="51" t="n"/>
      <c r="B16" s="56" t="n"/>
      <c r="C16" s="52" t="n"/>
      <c r="D16" s="41" t="n"/>
    </row>
    <row r="17" ht="39.95" customHeight="1">
      <c r="A17" s="51" t="n"/>
      <c r="B17" s="56" t="n"/>
      <c r="C17" s="52" t="n"/>
      <c r="D17" s="41" t="n"/>
    </row>
    <row r="18" ht="39.95" customHeight="1">
      <c r="A18" s="51" t="n"/>
      <c r="B18" s="56" t="n"/>
      <c r="C18" s="52" t="n"/>
      <c r="D18" s="41" t="n"/>
    </row>
    <row r="19">
      <c r="A19" s="162" t="inlineStr">
        <is>
          <t>TOTAL</t>
        </is>
      </c>
      <c r="B19" s="198" t="n"/>
      <c r="C19" s="53">
        <f>SUM(C12:C18)</f>
        <v/>
      </c>
      <c r="D19" s="54">
        <f>SUM(D12:D18)</f>
        <v/>
      </c>
    </row>
  </sheetData>
  <mergeCells count="11">
    <mergeCell ref="A1:D1"/>
    <mergeCell ref="A16:B16"/>
    <mergeCell ref="A7:B7"/>
    <mergeCell ref="A11:B11"/>
    <mergeCell ref="A3:D3"/>
    <mergeCell ref="A5:B5"/>
    <mergeCell ref="A2:D2"/>
    <mergeCell ref="A9:B9"/>
    <mergeCell ref="A6:B6"/>
    <mergeCell ref="A8:B8"/>
    <mergeCell ref="B4:C4"/>
  </mergeCells>
  <printOptions horizontalCentered="1" verticalCentered="1"/>
  <pageMargins left="0.3937007874015748" right="0.7086614173228347" top="0.7480314960629921" bottom="0.7480314960629921" header="1.968503937007874" footer="0"/>
  <pageSetup orientation="portrait" paperSize="9" scale="88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O19"/>
  <sheetViews>
    <sheetView showGridLines="0" zoomScale="56" zoomScaleNormal="56" workbookViewId="0">
      <selection activeCell="A15" sqref="A15"/>
    </sheetView>
  </sheetViews>
  <sheetFormatPr baseColWidth="10" defaultColWidth="11.42578125" defaultRowHeight="14.25"/>
  <cols>
    <col width="53.7109375" customWidth="1" style="33" min="1" max="1"/>
    <col width="20.7109375" customWidth="1" style="37" min="2" max="2"/>
    <col width="19.85546875" bestFit="1" customWidth="1" style="33" min="3" max="3"/>
    <col width="15.7109375" customWidth="1" style="33" min="4" max="7"/>
    <col width="14.7109375" customWidth="1" style="33" min="8" max="8"/>
    <col width="10.7109375" customWidth="1" style="38" min="9" max="9"/>
    <col width="14.7109375" customWidth="1" style="33" min="10" max="10"/>
    <col width="10.7109375" customWidth="1" style="38" min="11" max="11"/>
    <col width="14.7109375" customWidth="1" style="33" min="12" max="12"/>
    <col width="10.7109375" customWidth="1" style="38" min="13" max="13"/>
    <col width="14.7109375" customWidth="1" style="33" min="14" max="14"/>
    <col width="10.7109375" customWidth="1" style="38" min="15" max="15"/>
    <col width="11.42578125" customWidth="1" style="33" min="16" max="16384"/>
  </cols>
  <sheetData>
    <row r="1" ht="15.75" customHeight="1">
      <c r="A1" s="32" t="n"/>
      <c r="B1" s="32" t="n"/>
      <c r="C1" s="32" t="n"/>
      <c r="D1" s="32" t="n"/>
      <c r="E1" s="32" t="n"/>
      <c r="F1" s="32" t="n"/>
      <c r="G1" s="32" t="n"/>
    </row>
    <row r="2" ht="85.15000000000001" customHeight="1">
      <c r="A2" s="32" t="n"/>
      <c r="B2" s="174" t="inlineStr">
        <is>
          <t>ÉLECTIONS MUNICIPALES 
2026</t>
        </is>
      </c>
      <c r="C2" s="195" t="n"/>
      <c r="D2" s="195" t="n"/>
      <c r="E2" s="195" t="n"/>
      <c r="F2" s="195" t="n"/>
      <c r="G2" s="195" t="n"/>
      <c r="I2" s="33" t="n"/>
      <c r="J2" s="33" t="inlineStr">
        <is>
          <t xml:space="preserve">               </t>
        </is>
      </c>
      <c r="K2" s="33" t="n"/>
      <c r="L2" s="33" t="inlineStr">
        <is>
          <t xml:space="preserve">               </t>
        </is>
      </c>
      <c r="M2" s="33" t="n"/>
      <c r="N2" s="33" t="inlineStr">
        <is>
          <t xml:space="preserve">               </t>
        </is>
      </c>
      <c r="O2" s="33" t="n"/>
    </row>
    <row r="3" ht="54.95" customHeight="1" thickBot="1">
      <c r="A3" s="32" t="n"/>
      <c r="B3" s="32" t="n"/>
      <c r="C3" s="32" t="n"/>
      <c r="D3" s="32" t="n"/>
      <c r="E3" s="32" t="n"/>
      <c r="F3" s="32" t="n"/>
      <c r="G3" s="32" t="n"/>
    </row>
    <row r="4" ht="18" customHeight="1" thickBot="1">
      <c r="A4" s="34" t="n"/>
      <c r="B4" s="36" t="n"/>
      <c r="C4" s="34" t="n"/>
      <c r="D4" s="34" t="n"/>
      <c r="E4" s="34" t="n"/>
      <c r="F4" s="34" t="n"/>
      <c r="G4" s="34" t="n"/>
      <c r="H4" s="199" t="inlineStr">
        <is>
          <t>Candidat n°1</t>
        </is>
      </c>
      <c r="I4" s="200" t="n"/>
      <c r="J4" s="199" t="inlineStr">
        <is>
          <t>Candidat n°2</t>
        </is>
      </c>
      <c r="K4" s="200" t="n"/>
      <c r="L4" s="199" t="inlineStr">
        <is>
          <t>Candidat n°3</t>
        </is>
      </c>
      <c r="M4" s="200" t="n"/>
      <c r="N4" s="199" t="inlineStr">
        <is>
          <t>Candidat n°4</t>
        </is>
      </c>
      <c r="O4" s="200" t="n"/>
    </row>
    <row r="5" ht="163.5" customHeight="1" thickBot="1">
      <c r="A5" s="35" t="n"/>
      <c r="B5" s="136" t="inlineStr">
        <is>
          <t>Inscrits</t>
        </is>
      </c>
      <c r="C5" s="123" t="inlineStr">
        <is>
          <t>Émargements</t>
        </is>
      </c>
      <c r="D5" s="123" t="inlineStr">
        <is>
          <t>Votants</t>
        </is>
      </c>
      <c r="E5" s="123" t="inlineStr">
        <is>
          <t>Bulletins annulés</t>
        </is>
      </c>
      <c r="F5" s="123" t="inlineStr">
        <is>
          <t>Bulletins blancs</t>
        </is>
      </c>
      <c r="G5" s="124" t="inlineStr">
        <is>
          <t>Suffrages exprimés</t>
        </is>
      </c>
      <c r="H5" s="201" t="inlineStr">
        <is>
          <t>Grégory GARESTIER</t>
        </is>
      </c>
      <c r="I5" s="202" t="n"/>
      <c r="J5" s="201" t="inlineStr">
        <is>
          <t>Ismaëla WANE</t>
        </is>
      </c>
      <c r="K5" s="202" t="n"/>
      <c r="L5" s="201" t="inlineStr">
        <is>
          <t>Erwan LE GALL</t>
        </is>
      </c>
      <c r="M5" s="202" t="n"/>
      <c r="N5" s="201" t="inlineStr">
        <is>
          <t>Michel CHAPPAT</t>
        </is>
      </c>
      <c r="O5" s="202" t="n"/>
    </row>
    <row r="6" ht="50.1" customHeight="1">
      <c r="A6" s="112" t="inlineStr">
        <is>
          <t>BV1
Mairie 
Place Charles de Gaulle</t>
        </is>
      </c>
      <c r="B6" s="109" t="n"/>
      <c r="C6" s="102" t="n"/>
      <c r="D6" s="102" t="n"/>
      <c r="E6" s="103" t="n"/>
      <c r="F6" s="125" t="n"/>
      <c r="G6" s="132" t="n"/>
      <c r="H6" s="128" t="n"/>
      <c r="I6" s="105" t="n"/>
      <c r="J6" s="104" t="n"/>
      <c r="K6" s="105" t="n"/>
      <c r="L6" s="104" t="n"/>
      <c r="M6" s="105" t="n"/>
      <c r="N6" s="104" t="n"/>
      <c r="O6" s="106" t="n"/>
    </row>
    <row r="7" ht="50.1" customHeight="1">
      <c r="A7" s="16" t="inlineStr">
        <is>
          <t>BV2
Groupe scolaire de l'Agiot
Square de Beaufortin</t>
        </is>
      </c>
      <c r="B7" s="110" t="n"/>
      <c r="C7" s="43" t="n"/>
      <c r="D7" s="43" t="n"/>
      <c r="E7" s="43" t="n"/>
      <c r="F7" s="45" t="n"/>
      <c r="G7" s="133" t="n"/>
      <c r="H7" s="73" t="n"/>
      <c r="I7" s="101" t="n"/>
      <c r="J7" s="50" t="n"/>
      <c r="K7" s="101" t="n"/>
      <c r="L7" s="50" t="n"/>
      <c r="M7" s="101" t="n"/>
      <c r="N7" s="50" t="n"/>
      <c r="O7" s="107" t="n"/>
    </row>
    <row r="8" ht="50.1" customHeight="1">
      <c r="A8" s="17" t="inlineStr">
        <is>
          <t>BV3
Ecole élémentaire Malmedonne 
Avenue du Rouergue</t>
        </is>
      </c>
      <c r="B8" s="111" t="n"/>
      <c r="C8" s="44" t="n"/>
      <c r="D8" s="44" t="n"/>
      <c r="E8" s="43" t="n"/>
      <c r="F8" s="45" t="n"/>
      <c r="G8" s="133" t="n"/>
      <c r="H8" s="129" t="n"/>
      <c r="I8" s="100" t="n"/>
      <c r="J8" s="99" t="n"/>
      <c r="K8" s="100" t="n"/>
      <c r="L8" s="99" t="n"/>
      <c r="M8" s="100" t="n"/>
      <c r="N8" s="99" t="n"/>
      <c r="O8" s="108" t="n"/>
    </row>
    <row r="9" ht="50.1" customHeight="1">
      <c r="A9" s="16" t="inlineStr">
        <is>
          <t>BV4
Ecole Maternelle Haute-Futaie
 Avenue de Touraine</t>
        </is>
      </c>
      <c r="B9" s="110" t="n"/>
      <c r="C9" s="43" t="n"/>
      <c r="D9" s="43" t="n"/>
      <c r="E9" s="43" t="n"/>
      <c r="F9" s="45" t="n"/>
      <c r="G9" s="133" t="n"/>
      <c r="H9" s="73" t="n"/>
      <c r="I9" s="101" t="n"/>
      <c r="J9" s="50" t="n"/>
      <c r="K9" s="101" t="n"/>
      <c r="L9" s="50" t="n"/>
      <c r="M9" s="101" t="n"/>
      <c r="N9" s="50" t="n"/>
      <c r="O9" s="107" t="n"/>
    </row>
    <row r="10" ht="50.1" customHeight="1">
      <c r="A10" s="17" t="inlineStr">
        <is>
          <t>BV5
Espace Albert Camus 
Rue de la Beauce</t>
        </is>
      </c>
      <c r="B10" s="111" t="n"/>
      <c r="C10" s="44" t="n"/>
      <c r="D10" s="44" t="n"/>
      <c r="E10" s="44" t="n"/>
      <c r="F10" s="46" t="n"/>
      <c r="G10" s="133" t="n"/>
      <c r="H10" s="129" t="n"/>
      <c r="I10" s="100" t="n"/>
      <c r="J10" s="99" t="n"/>
      <c r="K10" s="100" t="n"/>
      <c r="L10" s="99" t="n"/>
      <c r="M10" s="100" t="n"/>
      <c r="N10" s="99" t="n"/>
      <c r="O10" s="108" t="n"/>
    </row>
    <row r="11" ht="50.1" customHeight="1">
      <c r="A11" s="16" t="inlineStr">
        <is>
          <t>BV6
Groupe scolaire Les Coudrays 
Avenue de Picardie</t>
        </is>
      </c>
      <c r="B11" s="110" t="n"/>
      <c r="C11" s="43" t="n"/>
      <c r="D11" s="43" t="n"/>
      <c r="E11" s="43" t="n"/>
      <c r="F11" s="45" t="n"/>
      <c r="G11" s="133" t="n"/>
      <c r="H11" s="73" t="n"/>
      <c r="I11" s="101" t="n"/>
      <c r="J11" s="50" t="n"/>
      <c r="K11" s="101" t="n"/>
      <c r="L11" s="50" t="n"/>
      <c r="M11" s="101" t="n"/>
      <c r="N11" s="50" t="n"/>
      <c r="O11" s="107" t="n"/>
    </row>
    <row r="12" ht="50.1" customHeight="1">
      <c r="A12" s="17" t="inlineStr">
        <is>
          <t>BV7
École élémentaire  Les Bessières  
Rue de Noirmoutier</t>
        </is>
      </c>
      <c r="B12" s="111" t="n"/>
      <c r="C12" s="44" t="n"/>
      <c r="D12" s="44" t="n"/>
      <c r="E12" s="44" t="n"/>
      <c r="F12" s="46" t="n"/>
      <c r="G12" s="133" t="n"/>
      <c r="H12" s="129" t="n"/>
      <c r="I12" s="100" t="n"/>
      <c r="J12" s="99" t="n"/>
      <c r="K12" s="100" t="n"/>
      <c r="L12" s="99" t="n"/>
      <c r="M12" s="100" t="n"/>
      <c r="N12" s="99" t="n"/>
      <c r="O12" s="108" t="n"/>
    </row>
    <row r="13" ht="50.1" customHeight="1">
      <c r="A13" s="16" t="inlineStr">
        <is>
          <t>BV8
Centre de Loisirs du Bout des Clos 
 Chemin des petits fossés</t>
        </is>
      </c>
      <c r="B13" s="110" t="n"/>
      <c r="C13" s="43" t="n"/>
      <c r="D13" s="43" t="n"/>
      <c r="E13" s="43" t="n"/>
      <c r="F13" s="45" t="n"/>
      <c r="G13" s="133" t="n"/>
      <c r="H13" s="73" t="n"/>
      <c r="I13" s="101" t="n"/>
      <c r="J13" s="50" t="n"/>
      <c r="K13" s="101" t="n"/>
      <c r="L13" s="50" t="n"/>
      <c r="M13" s="101" t="n"/>
      <c r="N13" s="50" t="n"/>
      <c r="O13" s="107" t="n"/>
    </row>
    <row r="14" ht="50.1" customHeight="1">
      <c r="A14" s="17" t="inlineStr">
        <is>
          <t>BV9
École élémentaire La Marnière 
 29 Avenue du Trégor</t>
        </is>
      </c>
      <c r="B14" s="111" t="n"/>
      <c r="C14" s="44" t="n"/>
      <c r="D14" s="44" t="n"/>
      <c r="E14" s="44" t="n"/>
      <c r="F14" s="46" t="n"/>
      <c r="G14" s="133" t="n"/>
      <c r="H14" s="129" t="n"/>
      <c r="I14" s="100" t="n"/>
      <c r="J14" s="99" t="n"/>
      <c r="K14" s="100" t="n"/>
      <c r="L14" s="99" t="n"/>
      <c r="M14" s="100" t="n"/>
      <c r="N14" s="99" t="n"/>
      <c r="O14" s="108" t="n"/>
    </row>
    <row r="15" ht="50.1" customHeight="1">
      <c r="A15" s="16" t="inlineStr">
        <is>
          <t>BV10
Centre Éducatif et Sportif de l'Agiot (CESA)
Square du Dauphiné</t>
        </is>
      </c>
      <c r="B15" s="110" t="n"/>
      <c r="C15" s="43" t="n"/>
      <c r="D15" s="43" t="n"/>
      <c r="E15" s="43" t="n"/>
      <c r="F15" s="45" t="n"/>
      <c r="G15" s="133" t="n"/>
      <c r="H15" s="73" t="n"/>
      <c r="I15" s="101" t="n"/>
      <c r="J15" s="50" t="n"/>
      <c r="K15" s="101" t="n"/>
      <c r="L15" s="50" t="n"/>
      <c r="M15" s="101" t="n"/>
      <c r="N15" s="50" t="n"/>
      <c r="O15" s="107" t="n"/>
    </row>
    <row r="16" ht="50.1" customHeight="1">
      <c r="A16" s="17" t="inlineStr">
        <is>
          <t>BV11
École maternelle La Marnière
29 avenue du Trégor</t>
        </is>
      </c>
      <c r="B16" s="111" t="n"/>
      <c r="C16" s="44" t="n"/>
      <c r="D16" s="44" t="n"/>
      <c r="E16" s="44" t="n"/>
      <c r="F16" s="46" t="n"/>
      <c r="G16" s="133" t="n"/>
      <c r="H16" s="129" t="n"/>
      <c r="I16" s="100" t="n"/>
      <c r="J16" s="99" t="n"/>
      <c r="K16" s="100" t="n"/>
      <c r="L16" s="99" t="n"/>
      <c r="M16" s="100" t="n"/>
      <c r="N16" s="99" t="n"/>
      <c r="O16" s="108" t="n"/>
    </row>
    <row r="17" ht="50.1" customHeight="1">
      <c r="A17" s="16" t="inlineStr">
        <is>
          <t>BV12
Groupe scolaire Les Friches 
 Place du Doubs</t>
        </is>
      </c>
      <c r="B17" s="110" t="n"/>
      <c r="C17" s="43" t="n"/>
      <c r="D17" s="43" t="n"/>
      <c r="E17" s="43" t="n"/>
      <c r="F17" s="45" t="n"/>
      <c r="G17" s="133" t="n"/>
      <c r="H17" s="73" t="n"/>
      <c r="I17" s="101" t="n"/>
      <c r="J17" s="50" t="n"/>
      <c r="K17" s="101" t="n"/>
      <c r="L17" s="50" t="n"/>
      <c r="M17" s="101" t="n"/>
      <c r="N17" s="50" t="n"/>
      <c r="O17" s="107" t="n"/>
    </row>
    <row r="18" ht="50.1" customHeight="1" thickBot="1">
      <c r="A18" s="84" t="inlineStr">
        <is>
          <t xml:space="preserve">BV13
École maternelle Chapiteau
Allée des Tilleuls </t>
        </is>
      </c>
      <c r="B18" s="113" t="n"/>
      <c r="C18" s="114" t="n"/>
      <c r="D18" s="114" t="n"/>
      <c r="E18" s="114" t="n"/>
      <c r="F18" s="126" t="n"/>
      <c r="G18" s="134" t="n"/>
      <c r="H18" s="130" t="n"/>
      <c r="I18" s="116" t="n"/>
      <c r="J18" s="115" t="n"/>
      <c r="K18" s="116" t="n"/>
      <c r="L18" s="115" t="n"/>
      <c r="M18" s="116" t="n"/>
      <c r="N18" s="115" t="n"/>
      <c r="O18" s="117" t="n"/>
    </row>
    <row r="19" ht="50.1" customHeight="1" thickBot="1">
      <c r="A19" s="118" t="inlineStr">
        <is>
          <t>TOTAUX</t>
        </is>
      </c>
      <c r="B19" s="119">
        <f>SUM(B6:B18)</f>
        <v/>
      </c>
      <c r="C19" s="120">
        <f>SUM(C6:C18)</f>
        <v/>
      </c>
      <c r="D19" s="120">
        <f>SUM(D6:D18)</f>
        <v/>
      </c>
      <c r="E19" s="120">
        <f>SUM(E6:E18)</f>
        <v/>
      </c>
      <c r="F19" s="127">
        <f>SUM(F6:F18)</f>
        <v/>
      </c>
      <c r="G19" s="135">
        <f>SUM(G6:G18)</f>
        <v/>
      </c>
      <c r="H19" s="131">
        <f>SUM(H6:H18)</f>
        <v/>
      </c>
      <c r="I19" s="121">
        <f>H19/$G$19</f>
        <v/>
      </c>
      <c r="J19" s="120">
        <f>SUM(J6:J18)</f>
        <v/>
      </c>
      <c r="K19" s="121">
        <f>J19/$G$19</f>
        <v/>
      </c>
      <c r="L19" s="120">
        <f>SUM(L6:L18)</f>
        <v/>
      </c>
      <c r="M19" s="121">
        <f>L19/$G$19</f>
        <v/>
      </c>
      <c r="N19" s="120">
        <f>SUM(N6:N18)</f>
        <v/>
      </c>
      <c r="O19" s="122">
        <f>N19/$G$19</f>
        <v/>
      </c>
    </row>
  </sheetData>
  <mergeCells count="9">
    <mergeCell ref="B2:G2"/>
    <mergeCell ref="J4:K4"/>
    <mergeCell ref="L4:M4"/>
    <mergeCell ref="J5:K5"/>
    <mergeCell ref="H5:I5"/>
    <mergeCell ref="L5:M5"/>
    <mergeCell ref="H4:I4"/>
    <mergeCell ref="N5:O5"/>
    <mergeCell ref="N4:O4"/>
  </mergeCells>
  <printOptions horizontalCentered="1" verticalCentered="1"/>
  <pageMargins left="0.3937007874015748" right="0.7086614173228347" top="0.3543307086614174" bottom="0.3543307086614174" header="0.7874015748031497" footer="0"/>
  <pageSetup orientation="landscape" paperSize="8" scale="48" copies="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ppoirier</dc:creator>
  <dcterms:created xmlns:dcterms="http://purl.org/dc/terms/" xmlns:xsi="http://www.w3.org/2001/XMLSchema-instance" xsi:type="dcterms:W3CDTF">2009-09-22T11:43:19Z</dcterms:created>
  <dcterms:modified xmlns:dcterms="http://purl.org/dc/terms/" xmlns:xsi="http://www.w3.org/2001/XMLSchema-instance" xsi:type="dcterms:W3CDTF">2026-02-20T15:39:24Z</dcterms:modified>
  <cp:lastModifiedBy>Joël Matrat</cp:lastModifiedBy>
  <cp:lastPrinted>2025-10-27T10:23:06Z</cp:lastPrinted>
</cp:coreProperties>
</file>